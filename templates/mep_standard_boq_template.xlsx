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pace Breakdown" sheetId="2" state="visible" r:id="rId2"/>
    <sheet xmlns:r="http://schemas.openxmlformats.org/officeDocument/2006/relationships" name="Fixtures Specs" sheetId="3" state="visible" r:id="rId3"/>
    <sheet xmlns:r="http://schemas.openxmlformats.org/officeDocument/2006/relationships" name="Piping Networks" sheetId="4" state="visible" r:id="rId4"/>
    <sheet xmlns:r="http://schemas.openxmlformats.org/officeDocument/2006/relationships" name="Fittings &amp; Sup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6DCE4"/>
        <bgColor rgb="00D6DCE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1F4E7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1"/>
  <sheetViews>
    <sheetView rightToLeft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38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20" customWidth="1" min="10" max="10"/>
    <col width="28" customWidth="1" min="11" max="11"/>
  </cols>
  <sheetData>
    <row r="2" ht="36" customHeight="1">
      <c r="B2" s="1" t="inlineStr">
        <is>
          <t>MEP General Summary &amp; Rate Analysis | Open MEP Quantity Takeoff Standard Template</t>
        </is>
      </c>
    </row>
    <row r="4" ht="28" customHeight="1">
      <c r="B4" s="2" t="inlineStr">
        <is>
          <t>Item</t>
        </is>
      </c>
      <c r="C4" s="3" t="inlineStr">
        <is>
          <t>System / Discipline</t>
        </is>
      </c>
      <c r="D4" s="3" t="inlineStr">
        <is>
          <t>Scope Description</t>
        </is>
      </c>
      <c r="E4" s="3" t="inlineStr">
        <is>
          <t>Unit</t>
        </is>
      </c>
      <c r="F4" s="3" t="inlineStr">
        <is>
          <t>Total Quantity</t>
        </is>
      </c>
      <c r="G4" s="3" t="inlineStr">
        <is>
          <t>Material Rate ($)</t>
        </is>
      </c>
      <c r="H4" s="3" t="inlineStr">
        <is>
          <t>Labor Rate ($)</t>
        </is>
      </c>
      <c r="I4" s="3" t="inlineStr">
        <is>
          <t>Unit Rate ($)</t>
        </is>
      </c>
      <c r="J4" s="3" t="inlineStr">
        <is>
          <t>Total Amount ($)</t>
        </is>
      </c>
      <c r="K4" s="3" t="inlineStr">
        <is>
          <t>Remarks</t>
        </is>
      </c>
    </row>
    <row r="5" ht="22" customHeight="1">
      <c r="B5" s="4" t="n">
        <v>1</v>
      </c>
      <c r="C5" s="4" t="inlineStr">
        <is>
          <t>Water Supply Equipment</t>
        </is>
      </c>
      <c r="D5" s="4" t="inlineStr">
        <is>
          <t>Tanks, Booster &amp; Transfer Pumps, Water Heaters</t>
        </is>
      </c>
      <c r="E5" s="4" t="inlineStr">
        <is>
          <t>Lot</t>
        </is>
      </c>
      <c r="F5" s="4" t="n">
        <v>1</v>
      </c>
      <c r="G5" s="4" t="n">
        <v>15000</v>
      </c>
      <c r="H5" s="4" t="n">
        <v>3500</v>
      </c>
      <c r="I5" s="4">
        <f>G5+H5</f>
        <v/>
      </c>
      <c r="J5" s="4">
        <f>ROUND(F5*I5, 2)</f>
        <v/>
      </c>
      <c r="K5" s="4" t="inlineStr">
        <is>
          <t>Central Water Storage &amp; Boosting</t>
        </is>
      </c>
    </row>
    <row r="6" ht="22" customHeight="1">
      <c r="B6" s="4" t="n">
        <v>2</v>
      </c>
      <c r="C6" s="4" t="inlineStr">
        <is>
          <t>Sanitary Fixtures</t>
        </is>
      </c>
      <c r="D6" s="4" t="inlineStr">
        <is>
          <t>Water Closets, Washbasins, Sinks, Showers</t>
        </is>
      </c>
      <c r="E6" s="4" t="inlineStr">
        <is>
          <t>Set</t>
        </is>
      </c>
      <c r="F6" s="4" t="n">
        <v>50</v>
      </c>
      <c r="G6" s="4" t="n">
        <v>450</v>
      </c>
      <c r="H6" s="4" t="n">
        <v>120</v>
      </c>
      <c r="I6" s="4">
        <f>G6+H6</f>
        <v/>
      </c>
      <c r="J6" s="4">
        <f>ROUND(F6*I6, 2)</f>
        <v/>
      </c>
      <c r="K6" s="4" t="inlineStr">
        <is>
          <t>Vitreous China &amp; Acrylic</t>
        </is>
      </c>
    </row>
    <row r="7" ht="22" customHeight="1">
      <c r="B7" s="4" t="n">
        <v>3</v>
      </c>
      <c r="C7" s="4" t="inlineStr">
        <is>
          <t>Mixers &amp; Valves</t>
        </is>
      </c>
      <c r="D7" s="4" t="inlineStr">
        <is>
          <t>Basin &amp; Kitchen Mixers, Angle Valves, Bibb Taps</t>
        </is>
      </c>
      <c r="E7" s="4" t="inlineStr">
        <is>
          <t>Pcs</t>
        </is>
      </c>
      <c r="F7" s="4" t="n">
        <v>250</v>
      </c>
      <c r="G7" s="4" t="n">
        <v>45</v>
      </c>
      <c r="H7" s="4" t="n">
        <v>15</v>
      </c>
      <c r="I7" s="4">
        <f>G7+H7</f>
        <v/>
      </c>
      <c r="J7" s="4">
        <f>ROUND(F7*I7, 2)</f>
        <v/>
      </c>
      <c r="K7" s="4" t="inlineStr">
        <is>
          <t>Chrome Plated Brass</t>
        </is>
      </c>
    </row>
    <row r="8" ht="22" customHeight="1">
      <c r="B8" s="4" t="n">
        <v>4</v>
      </c>
      <c r="C8" s="4" t="inlineStr">
        <is>
          <t>Piping Networks (True 3D)</t>
        </is>
      </c>
      <c r="D8" s="4" t="inlineStr">
        <is>
          <t>PPR Supply, PVC Soil &amp; Waste, Vent, Rainwater</t>
        </is>
      </c>
      <c r="E8" s="4" t="inlineStr">
        <is>
          <t>L.M</t>
        </is>
      </c>
      <c r="F8" s="4" t="n">
        <v>5000</v>
      </c>
      <c r="G8" s="4" t="n">
        <v>8</v>
      </c>
      <c r="H8" s="4" t="n">
        <v>4</v>
      </c>
      <c r="I8" s="4">
        <f>G8+H8</f>
        <v/>
      </c>
      <c r="J8" s="4">
        <f>ROUND(F8*I8, 2)</f>
        <v/>
      </c>
      <c r="K8" s="4" t="inlineStr">
        <is>
          <t>Horizontal Runs + Risers + Wall Drops</t>
        </is>
      </c>
    </row>
    <row r="9" ht="22" customHeight="1">
      <c r="B9" s="4" t="n">
        <v>5</v>
      </c>
      <c r="C9" s="4" t="inlineStr">
        <is>
          <t>Fittings &amp; Clamps</t>
        </is>
      </c>
      <c r="D9" s="4" t="inlineStr">
        <is>
          <t>Elbows, Tees, Sound-Insulated Clamps, Hangers</t>
        </is>
      </c>
      <c r="E9" s="4" t="inlineStr">
        <is>
          <t>Lot</t>
        </is>
      </c>
      <c r="F9" s="4" t="n">
        <v>1</v>
      </c>
      <c r="G9" s="4" t="n">
        <v>8000</v>
      </c>
      <c r="H9" s="4" t="n">
        <v>3000</v>
      </c>
      <c r="I9" s="4">
        <f>G9+H9</f>
        <v/>
      </c>
      <c r="J9" s="4">
        <f>ROUND(F9*I9, 2)</f>
        <v/>
      </c>
      <c r="K9" s="4" t="inlineStr">
        <is>
          <t>Mechanical Supports &amp; Couplings</t>
        </is>
      </c>
    </row>
    <row r="10" ht="22" customHeight="1">
      <c r="B10" s="4" t="n">
        <v>6</v>
      </c>
      <c r="C10" s="4" t="inlineStr">
        <is>
          <t>Testing &amp; Commissioning</t>
        </is>
      </c>
      <c r="D10" s="4" t="inlineStr">
        <is>
          <t>Hydrostatic Pressure Testing (15 bar), TAB, Disinfection</t>
        </is>
      </c>
      <c r="E10" s="4" t="inlineStr">
        <is>
          <t>Lot</t>
        </is>
      </c>
      <c r="F10" s="4" t="n">
        <v>1</v>
      </c>
      <c r="G10" s="4" t="n">
        <v>1500</v>
      </c>
      <c r="H10" s="4" t="n">
        <v>1200</v>
      </c>
      <c r="I10" s="4">
        <f>G10+H10</f>
        <v/>
      </c>
      <c r="J10" s="4">
        <f>ROUND(F10*I10, 2)</f>
        <v/>
      </c>
      <c r="K10" s="4" t="inlineStr">
        <is>
          <t>Consultant Handover Protocol</t>
        </is>
      </c>
    </row>
    <row r="11">
      <c r="B11" s="5" t="inlineStr">
        <is>
          <t>Grand Total MEP Estimated Cost</t>
        </is>
      </c>
      <c r="J11" s="6">
        <f>SUM(J5:J10)</f>
        <v/>
      </c>
    </row>
  </sheetData>
  <mergeCells count="2">
    <mergeCell ref="B11:I1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"/>
  <sheetViews>
    <sheetView rightToLeft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2" ht="36" customHeight="1">
      <c r="B2" s="1" t="inlineStr">
        <is>
          <t>Space by Space Fixture Schedule | Open MEP Quantity Takeoff Standard Template</t>
        </is>
      </c>
    </row>
    <row r="4" ht="28" customHeight="1">
      <c r="B4" s="2" t="inlineStr">
        <is>
          <t>Item</t>
        </is>
      </c>
      <c r="C4" s="3" t="inlineStr">
        <is>
          <t>Floor Level</t>
        </is>
      </c>
      <c r="D4" s="3" t="inlineStr">
        <is>
          <t>Space Category</t>
        </is>
      </c>
      <c r="E4" s="3" t="inlineStr">
        <is>
          <t>Area (m²)</t>
        </is>
      </c>
      <c r="F4" s="3" t="inlineStr">
        <is>
          <t>WCs</t>
        </is>
      </c>
      <c r="G4" s="3" t="inlineStr">
        <is>
          <t>Basins</t>
        </is>
      </c>
      <c r="H4" s="3" t="inlineStr">
        <is>
          <t>Showers</t>
        </is>
      </c>
      <c r="I4" s="3" t="inlineStr">
        <is>
          <t>Kitchen Sinks</t>
        </is>
      </c>
      <c r="J4" s="3" t="inlineStr">
        <is>
          <t>Floor Drains</t>
        </is>
      </c>
      <c r="K4" s="3" t="inlineStr">
        <is>
          <t>Water Heaters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"/>
  <sheetViews>
    <sheetView rightToLeft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28" customWidth="1" min="4" max="4"/>
    <col width="38" customWidth="1" min="5" max="5"/>
    <col width="10" customWidth="1" min="6" max="6"/>
    <col width="12" customWidth="1" min="7" max="7"/>
    <col width="16" customWidth="1" min="8" max="8"/>
    <col width="28" customWidth="1" min="9" max="9"/>
  </cols>
  <sheetData>
    <row r="2" ht="36" customHeight="1">
      <c r="B2" s="1" t="inlineStr">
        <is>
          <t>Sanitary Ware &amp; Fittings Specifications | Open MEP Quantity Takeoff Standard Template</t>
        </is>
      </c>
    </row>
    <row r="4" ht="28" customHeight="1">
      <c r="B4" s="2" t="inlineStr">
        <is>
          <t>Item</t>
        </is>
      </c>
      <c r="C4" s="3" t="inlineStr">
        <is>
          <t>Item Code</t>
        </is>
      </c>
      <c r="D4" s="3" t="inlineStr">
        <is>
          <t>Fixture Description</t>
        </is>
      </c>
      <c r="E4" s="3" t="inlineStr">
        <is>
          <t>Technical Specifications</t>
        </is>
      </c>
      <c r="F4" s="3" t="inlineStr">
        <is>
          <t>Unit</t>
        </is>
      </c>
      <c r="G4" s="3" t="inlineStr">
        <is>
          <t>Net Qty</t>
        </is>
      </c>
      <c r="H4" s="3" t="inlineStr">
        <is>
          <t>Procurement Qty (+10%)</t>
        </is>
      </c>
      <c r="I4" s="3" t="inlineStr">
        <is>
          <t>Approved Brands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"/>
  <sheetViews>
    <sheetView rightToLeft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8" customWidth="1" min="3" max="3"/>
    <col width="16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2" ht="36" customHeight="1">
      <c r="B2" s="1" t="inlineStr">
        <is>
          <t>3D Piping Takeoff (Horizontal + Risers + Drops) | Open MEP Quantity Takeoff Standard Template</t>
        </is>
      </c>
    </row>
    <row r="4" ht="28" customHeight="1">
      <c r="B4" s="2" t="inlineStr">
        <is>
          <t>Item</t>
        </is>
      </c>
      <c r="C4" s="3" t="inlineStr">
        <is>
          <t>System</t>
        </is>
      </c>
      <c r="D4" s="3" t="inlineStr">
        <is>
          <t>Pipe Material</t>
        </is>
      </c>
      <c r="E4" s="3" t="inlineStr">
        <is>
          <t>Diameter</t>
        </is>
      </c>
      <c r="F4" s="3" t="inlineStr">
        <is>
          <t>Floor Horizontal (m)</t>
        </is>
      </c>
      <c r="G4" s="3" t="inlineStr">
        <is>
          <t>Vertical Risers (m)</t>
        </is>
      </c>
      <c r="H4" s="3" t="inlineStr">
        <is>
          <t>Wall Drops (m)</t>
        </is>
      </c>
      <c r="I4" s="3" t="inlineStr">
        <is>
          <t>Net Total (m)</t>
        </is>
      </c>
      <c r="J4" s="3" t="inlineStr">
        <is>
          <t>Procurement (+10%)</t>
        </is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"/>
  <sheetViews>
    <sheetView rightToLeft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32" customWidth="1" min="4" max="4"/>
    <col width="34" customWidth="1" min="5" max="5"/>
    <col width="10" customWidth="1" min="6" max="6"/>
    <col width="12" customWidth="1" min="7" max="7"/>
    <col width="16" customWidth="1" min="8" max="8"/>
    <col width="26" customWidth="1" min="9" max="9"/>
  </cols>
  <sheetData>
    <row r="2" ht="36" customHeight="1">
      <c r="B2" s="1" t="inlineStr">
        <is>
          <t>Fittings, Clamps, Acoustic Hangers &amp; Consumables | Open MEP Quantity Takeoff Standard Template</t>
        </is>
      </c>
    </row>
    <row r="4" ht="28" customHeight="1">
      <c r="B4" s="2" t="inlineStr">
        <is>
          <t>Item</t>
        </is>
      </c>
      <c r="C4" s="3" t="inlineStr">
        <is>
          <t>Category</t>
        </is>
      </c>
      <c r="D4" s="3" t="inlineStr">
        <is>
          <t>Fitting / Bracket Description</t>
        </is>
      </c>
      <c r="E4" s="3" t="inlineStr">
        <is>
          <t>Engineering Derivation Rule</t>
        </is>
      </c>
      <c r="F4" s="3" t="inlineStr">
        <is>
          <t>Unit</t>
        </is>
      </c>
      <c r="G4" s="3" t="inlineStr">
        <is>
          <t>Net Qty</t>
        </is>
      </c>
      <c r="H4" s="3" t="inlineStr">
        <is>
          <t>Procurement Qty</t>
        </is>
      </c>
      <c r="I4" s="3" t="inlineStr">
        <is>
          <t>Installation Standard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2026-10-05T21:42:05Z</dcterms:created>
  <dcterms:modified xmlns:dcterms="http://purl.org/dc/terms/" xmlns:xsi="http://www.w3.org/2001/XMLSchema-instance" xsi:type="dcterms:W3CDTF">2026-10-05T21:42:05Z</dcterms:modified>
</cp:coreProperties>
</file>